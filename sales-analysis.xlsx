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mia\Desktop\Data Analysis Learning\Excel Learning\"/>
    </mc:Choice>
  </mc:AlternateContent>
  <xr:revisionPtr revIDLastSave="0" documentId="13_ncr:1_{CDEF50AA-0AC4-4848-8DDA-F2030D265389}" xr6:coauthVersionLast="47" xr6:coauthVersionMax="47" xr10:uidLastSave="{00000000-0000-0000-0000-000000000000}"/>
  <bookViews>
    <workbookView xWindow="-108" yWindow="-108" windowWidth="23256" windowHeight="12456" xr2:uid="{6B11A467-50CA-4CAC-9CBB-542F67286920}"/>
  </bookViews>
  <sheets>
    <sheet name="RetailSalesAnalysis" sheetId="2" r:id="rId1"/>
  </sheets>
  <definedNames>
    <definedName name="ExternalData_1" localSheetId="0" hidden="1">RetailSalesAnalysis!$A$1:$D$11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5" i="2" l="1" a="1"/>
  <c r="F15" i="2" s="1"/>
  <c r="J23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70B5C10-7FF7-4608-A67F-A41181D816E6}" keepAlive="1" name="Query - Table002 (Page 2)" description="Connection to the 'Table002 (Page 2)' query in the workbook." type="5" refreshedVersion="8" background="1" saveData="1">
    <dbPr connection="Provider=Microsoft.Mashup.OleDb.1;Data Source=$Workbook$;Location=&quot;Table002 (Page 2)&quot;;Extended Properties=&quot;&quot;" command="SELECT * FROM [Table002 (Page 2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<sst xmlns="http://schemas.openxmlformats.org/spreadsheetml/2006/main" count="40" uniqueCount="19">
  <si>
    <t>Date</t>
  </si>
  <si>
    <t>Product</t>
  </si>
  <si>
    <t>Sales_Amount</t>
  </si>
  <si>
    <t>Region</t>
  </si>
  <si>
    <t>Laptop</t>
  </si>
  <si>
    <t>South</t>
  </si>
  <si>
    <t>Mobile</t>
  </si>
  <si>
    <t>Headphones</t>
  </si>
  <si>
    <t>Keyboard</t>
  </si>
  <si>
    <t>North</t>
  </si>
  <si>
    <t>Mouse</t>
  </si>
  <si>
    <t>East</t>
  </si>
  <si>
    <t>Charger</t>
  </si>
  <si>
    <t>West</t>
  </si>
  <si>
    <t>Tablet</t>
  </si>
  <si>
    <t>Trimmean</t>
  </si>
  <si>
    <t>Median calculated for Region 'South' and Sales amount not blank</t>
  </si>
  <si>
    <t>#Trim mean function is used to trim top and bottom values(outliers) from the Sales_amount column</t>
  </si>
  <si>
    <t>Best measure: Median (not Mean or Mode) - because there are some very high values (like the Laptop price), the average can get distorted. Also, most sales values are different, so mode doesn’t help.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</si>
</sst>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</fills>
  <borders count="20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9" tint="0.39997558519241921"/>
      </bottom>
      <diagonal/>
    </border>
    <border>
      <left/>
      <right/>
      <top style="medium">
        <color indexed="64"/>
      </top>
      <bottom style="thin">
        <color theme="9" tint="0.39997558519241921"/>
      </bottom>
      <diagonal/>
    </border>
    <border>
      <left/>
      <right style="medium">
        <color indexed="64"/>
      </right>
      <top style="medium">
        <color indexed="64"/>
      </top>
      <bottom style="thin">
        <color theme="9" tint="0.39997558519241921"/>
      </bottom>
      <diagonal/>
    </border>
    <border>
      <left style="medium">
        <color indexed="64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medium">
        <color indexed="64"/>
      </right>
      <top style="thin">
        <color theme="9" tint="0.39997558519241921"/>
      </top>
      <bottom style="thin">
        <color theme="9" tint="0.39997558519241921"/>
      </bottom>
      <diagonal/>
    </border>
    <border>
      <left style="medium">
        <color indexed="64"/>
      </left>
      <right/>
      <top style="thin">
        <color theme="9" tint="0.39997558519241921"/>
      </top>
      <bottom style="medium">
        <color indexed="64"/>
      </bottom>
      <diagonal/>
    </border>
    <border>
      <left/>
      <right/>
      <top style="thin">
        <color theme="9" tint="0.3999755851924192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0" borderId="0" xfId="0" applyFont="1"/>
    <xf numFmtId="0" fontId="1" fillId="0" borderId="2" xfId="0" applyFont="1" applyBorder="1" applyAlignment="1">
      <alignment wrapText="1"/>
    </xf>
    <xf numFmtId="14" fontId="0" fillId="0" borderId="3" xfId="0" applyNumberFormat="1" applyBorder="1"/>
    <xf numFmtId="0" fontId="0" fillId="0" borderId="4" xfId="0" applyBorder="1"/>
    <xf numFmtId="0" fontId="0" fillId="0" borderId="5" xfId="0" applyBorder="1"/>
    <xf numFmtId="14" fontId="0" fillId="0" borderId="6" xfId="0" applyNumberFormat="1" applyBorder="1"/>
    <xf numFmtId="0" fontId="0" fillId="0" borderId="7" xfId="0" applyBorder="1"/>
    <xf numFmtId="14" fontId="0" fillId="0" borderId="8" xfId="0" applyNumberFormat="1" applyBorder="1"/>
    <xf numFmtId="0" fontId="0" fillId="0" borderId="9" xfId="0" applyBorder="1"/>
    <xf numFmtId="0" fontId="0" fillId="0" borderId="10" xfId="0" applyBorder="1"/>
    <xf numFmtId="0" fontId="1" fillId="3" borderId="18" xfId="0" applyFont="1" applyFill="1" applyBorder="1" applyAlignment="1">
      <alignment wrapText="1"/>
    </xf>
    <xf numFmtId="14" fontId="0" fillId="2" borderId="11" xfId="0" applyNumberFormat="1" applyFill="1" applyBorder="1"/>
    <xf numFmtId="0" fontId="0" fillId="2" borderId="12" xfId="0" applyFill="1" applyBorder="1"/>
    <xf numFmtId="0" fontId="0" fillId="2" borderId="13" xfId="0" applyFill="1" applyBorder="1"/>
    <xf numFmtId="14" fontId="0" fillId="0" borderId="14" xfId="0" applyNumberFormat="1" applyBorder="1"/>
    <xf numFmtId="0" fontId="0" fillId="0" borderId="15" xfId="0" applyBorder="1"/>
    <xf numFmtId="14" fontId="0" fillId="2" borderId="14" xfId="0" applyNumberFormat="1" applyFill="1" applyBorder="1"/>
    <xf numFmtId="0" fontId="0" fillId="2" borderId="15" xfId="0" applyFill="1" applyBorder="1"/>
    <xf numFmtId="0" fontId="0" fillId="4" borderId="10" xfId="0" applyFill="1" applyBorder="1"/>
    <xf numFmtId="0" fontId="2" fillId="0" borderId="0" xfId="0" applyFont="1"/>
    <xf numFmtId="0" fontId="0" fillId="4" borderId="16" xfId="0" applyFill="1" applyBorder="1" applyAlignment="1">
      <alignment horizontal="center"/>
    </xf>
    <xf numFmtId="0" fontId="0" fillId="4" borderId="17" xfId="0" applyFill="1" applyBorder="1" applyAlignment="1">
      <alignment horizontal="center"/>
    </xf>
    <xf numFmtId="0" fontId="1" fillId="5" borderId="19" xfId="0" applyFont="1" applyFill="1" applyBorder="1" applyAlignment="1">
      <alignment horizontal="center" vertical="center"/>
    </xf>
  </cellXfs>
  <cellStyles count="1">
    <cellStyle name="Normal" xfId="0" builtinId="0"/>
  </cellStyles>
  <dxfs count="3">
    <dxf>
      <numFmt numFmtId="0" formatCode="General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0" formatCode="General"/>
    </dxf>
    <dxf>
      <numFmt numFmtId="19" formatCode="dd/mm/yyyy"/>
      <border diagonalUp="0" diagonalDown="0">
        <left style="medium">
          <color indexed="64"/>
        </left>
        <right/>
        <top/>
        <bottom/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connections" Target="connection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6D679BF-E359-4F79-AE93-94DEA0B96DAD}" autoFormatId="16" applyNumberFormats="0" applyBorderFormats="0" applyFontFormats="0" applyPatternFormats="0" applyAlignmentFormats="0" applyWidthHeightFormats="0">
  <queryTableRefresh nextId="6">
    <queryTableFields count="4">
      <queryTableField id="1" name="Date" tableColumnId="1"/>
      <queryTableField id="2" name="Product" tableColumnId="2"/>
      <queryTableField id="3" name="Sales_Amount" tableColumnId="3"/>
      <queryTableField id="4" name="Region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C6B6069-5211-4E0D-AD7A-96BFBA909741}" name="Table002__Page_2" displayName="Table002__Page_2" ref="A1:D11" tableType="queryTable" totalsRowShown="0">
  <autoFilter ref="A1:D11" xr:uid="{0C6B6069-5211-4E0D-AD7A-96BFBA909741}"/>
  <tableColumns count="4">
    <tableColumn id="1" xr3:uid="{14942D27-7EE1-4C12-AC46-FE78D283ADA0}" uniqueName="1" name="Date" queryTableFieldId="1" dataDxfId="2"/>
    <tableColumn id="2" xr3:uid="{CA450AA2-9568-4E80-AAF0-B0BCB2154A3C}" uniqueName="2" name="Product" queryTableFieldId="2" dataDxfId="1"/>
    <tableColumn id="3" xr3:uid="{B56F34E3-952C-4767-95A1-5C28AE4E812B}" uniqueName="3" name="Sales_Amount" queryTableFieldId="3"/>
    <tableColumn id="4" xr3:uid="{5510273E-34B1-438D-BE70-040D8BD07CCE}" uniqueName="4" name="Region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BDFEF-E9FE-4C39-B3C1-84A39ECC3614}">
  <dimension ref="A1:J24"/>
  <sheetViews>
    <sheetView showGridLines="0" tabSelected="1" workbookViewId="0">
      <selection activeCell="F71" sqref="F71"/>
    </sheetView>
  </sheetViews>
  <sheetFormatPr defaultRowHeight="14.4" x14ac:dyDescent="0.3"/>
  <cols>
    <col min="1" max="1" width="10.33203125" bestFit="1" customWidth="1"/>
    <col min="2" max="2" width="11.109375" bestFit="1" customWidth="1"/>
    <col min="3" max="3" width="15.44140625" bestFit="1" customWidth="1"/>
    <col min="4" max="4" width="9" bestFit="1" customWidth="1"/>
    <col min="5" max="5" width="60.44140625" bestFit="1" customWidth="1"/>
    <col min="6" max="6" width="6" bestFit="1" customWidth="1"/>
    <col min="7" max="7" width="12" bestFit="1" customWidth="1"/>
  </cols>
  <sheetData>
    <row r="1" spans="1:7" ht="15" thickBot="1" x14ac:dyDescent="0.35">
      <c r="A1" t="s">
        <v>0</v>
      </c>
      <c r="B1" t="s">
        <v>1</v>
      </c>
      <c r="C1" t="s">
        <v>2</v>
      </c>
      <c r="D1" t="s">
        <v>3</v>
      </c>
    </row>
    <row r="2" spans="1:7" x14ac:dyDescent="0.3">
      <c r="A2" s="5">
        <v>46023</v>
      </c>
      <c r="B2" s="6" t="s">
        <v>4</v>
      </c>
      <c r="C2" s="6">
        <v>25000</v>
      </c>
      <c r="D2" s="7" t="s">
        <v>5</v>
      </c>
    </row>
    <row r="3" spans="1:7" x14ac:dyDescent="0.3">
      <c r="A3" s="8">
        <v>46024</v>
      </c>
      <c r="B3" t="s">
        <v>6</v>
      </c>
      <c r="C3">
        <v>18000</v>
      </c>
      <c r="D3" s="9" t="s">
        <v>5</v>
      </c>
    </row>
    <row r="4" spans="1:7" x14ac:dyDescent="0.3">
      <c r="A4" s="8">
        <v>46025</v>
      </c>
      <c r="B4" t="s">
        <v>7</v>
      </c>
      <c r="D4" s="9" t="s">
        <v>5</v>
      </c>
      <c r="G4" s="3"/>
    </row>
    <row r="5" spans="1:7" x14ac:dyDescent="0.3">
      <c r="A5" s="8">
        <v>46026</v>
      </c>
      <c r="B5" t="s">
        <v>4</v>
      </c>
      <c r="C5">
        <v>300000</v>
      </c>
      <c r="D5" s="9" t="s">
        <v>5</v>
      </c>
    </row>
    <row r="6" spans="1:7" x14ac:dyDescent="0.3">
      <c r="A6" s="8">
        <v>46027</v>
      </c>
      <c r="B6" t="s">
        <v>8</v>
      </c>
      <c r="C6">
        <v>4500</v>
      </c>
      <c r="D6" s="9" t="s">
        <v>9</v>
      </c>
    </row>
    <row r="7" spans="1:7" x14ac:dyDescent="0.3">
      <c r="A7" s="8">
        <v>46028</v>
      </c>
      <c r="B7" t="s">
        <v>10</v>
      </c>
      <c r="C7">
        <v>5200</v>
      </c>
      <c r="D7" s="9" t="s">
        <v>5</v>
      </c>
    </row>
    <row r="8" spans="1:7" x14ac:dyDescent="0.3">
      <c r="A8" s="8">
        <v>46029</v>
      </c>
      <c r="B8" t="s">
        <v>6</v>
      </c>
      <c r="C8">
        <v>19000</v>
      </c>
      <c r="D8" s="9" t="s">
        <v>11</v>
      </c>
    </row>
    <row r="9" spans="1:7" x14ac:dyDescent="0.3">
      <c r="A9" s="8">
        <v>46030</v>
      </c>
      <c r="B9" t="s">
        <v>4</v>
      </c>
      <c r="C9">
        <v>26000</v>
      </c>
      <c r="D9" s="9" t="s">
        <v>5</v>
      </c>
    </row>
    <row r="10" spans="1:7" x14ac:dyDescent="0.3">
      <c r="A10" s="8">
        <v>46031</v>
      </c>
      <c r="B10" t="s">
        <v>12</v>
      </c>
      <c r="D10" s="9" t="s">
        <v>13</v>
      </c>
    </row>
    <row r="11" spans="1:7" ht="15" thickBot="1" x14ac:dyDescent="0.35">
      <c r="A11" s="10">
        <v>46032</v>
      </c>
      <c r="B11" s="11" t="s">
        <v>14</v>
      </c>
      <c r="C11" s="11">
        <v>24000</v>
      </c>
      <c r="D11" s="12" t="s">
        <v>5</v>
      </c>
    </row>
    <row r="12" spans="1:7" ht="15.6" customHeight="1" thickBot="1" x14ac:dyDescent="0.35"/>
    <row r="13" spans="1:7" ht="43.2" customHeight="1" thickBot="1" x14ac:dyDescent="0.35">
      <c r="E13" s="4" t="s">
        <v>18</v>
      </c>
    </row>
    <row r="14" spans="1:7" ht="15" thickBot="1" x14ac:dyDescent="0.35"/>
    <row r="15" spans="1:7" ht="15" thickBot="1" x14ac:dyDescent="0.35">
      <c r="E15" s="13" t="s">
        <v>16</v>
      </c>
      <c r="F15" s="25" cm="1">
        <f t="array" ref="F15">MEDIAN(IF((Table002__Page_2[Region]="South")*(Table002__Page_2[Sales_Amount]&lt;&gt;""),Table002__Page_2[Sales_Amount]))</f>
        <v>24500</v>
      </c>
    </row>
    <row r="16" spans="1:7" ht="15" thickBot="1" x14ac:dyDescent="0.35"/>
    <row r="17" spans="7:10" x14ac:dyDescent="0.3">
      <c r="G17" s="14">
        <v>46023</v>
      </c>
      <c r="H17" s="15" t="s">
        <v>4</v>
      </c>
      <c r="I17" s="15">
        <v>25000</v>
      </c>
      <c r="J17" s="16" t="s">
        <v>5</v>
      </c>
    </row>
    <row r="18" spans="7:10" x14ac:dyDescent="0.3">
      <c r="G18" s="17">
        <v>46024</v>
      </c>
      <c r="H18" s="2" t="s">
        <v>6</v>
      </c>
      <c r="I18" s="2">
        <v>18000</v>
      </c>
      <c r="J18" s="18" t="s">
        <v>5</v>
      </c>
    </row>
    <row r="19" spans="7:10" x14ac:dyDescent="0.3">
      <c r="G19" s="19">
        <v>46026</v>
      </c>
      <c r="H19" s="1" t="s">
        <v>4</v>
      </c>
      <c r="I19" s="1">
        <v>300000</v>
      </c>
      <c r="J19" s="20" t="s">
        <v>5</v>
      </c>
    </row>
    <row r="20" spans="7:10" x14ac:dyDescent="0.3">
      <c r="G20" s="17">
        <v>46028</v>
      </c>
      <c r="H20" s="2" t="s">
        <v>10</v>
      </c>
      <c r="I20" s="2">
        <v>5200</v>
      </c>
      <c r="J20" s="18" t="s">
        <v>5</v>
      </c>
    </row>
    <row r="21" spans="7:10" x14ac:dyDescent="0.3">
      <c r="G21" s="19">
        <v>46030</v>
      </c>
      <c r="H21" s="1" t="s">
        <v>4</v>
      </c>
      <c r="I21" s="1">
        <v>26000</v>
      </c>
      <c r="J21" s="20" t="s">
        <v>5</v>
      </c>
    </row>
    <row r="22" spans="7:10" x14ac:dyDescent="0.3">
      <c r="G22" s="17">
        <v>46032</v>
      </c>
      <c r="H22" s="2" t="s">
        <v>14</v>
      </c>
      <c r="I22" s="2">
        <v>24000</v>
      </c>
      <c r="J22" s="18" t="s">
        <v>5</v>
      </c>
    </row>
    <row r="23" spans="7:10" ht="15" thickBot="1" x14ac:dyDescent="0.35">
      <c r="G23" s="23" t="s">
        <v>15</v>
      </c>
      <c r="H23" s="24"/>
      <c r="I23" s="24"/>
      <c r="J23" s="21">
        <f>TRIMMEAN(I17:I22,0.6)</f>
        <v>23250</v>
      </c>
    </row>
    <row r="24" spans="7:10" x14ac:dyDescent="0.3">
      <c r="G24" s="22" t="s">
        <v>17</v>
      </c>
    </row>
  </sheetData>
  <mergeCells count="1">
    <mergeCell ref="G23:I23"/>
  </mergeCell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D692B70-573E-4A4D-8FF7-8A456039186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RetailSalesAnalysis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Aleena Belbin</dc:creator>
  <cp:lastModifiedBy>Aleena Belbin</cp:lastModifiedBy>
  <dcterms:created xsi:type="dcterms:W3CDTF">2026-05-02T07:22:31Z</dcterms:created>
  <dcterms:modified xsi:type="dcterms:W3CDTF">2026-05-03T08:44:04Z</dcterms:modified>
</cp:coreProperties>
</file>